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<sst xmlns="http://schemas.openxmlformats.org/spreadsheetml/2006/main" count="7" uniqueCount="7">
  <si>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Tiempo (t)</t>
  </si>
  <si>
    <t>Dato (yt​)</t>
  </si>
  <si>
    <t>SMA (Resultado)</t>
  </si>
  <si>
    <t>WMA (Resultado)</t>
  </si>
  <si>
    <t>EMA (Resultado)</t>
  </si>
  <si>
    <t>a =</t>
  </si>
  <si>
    <t>(1-a)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</si>
</sst>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2" numFmtId="4" xfId="0" applyAlignment="1" applyBorder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5" numFmtId="0" xfId="0" applyBorder="1" applyFont="1"/>
    <xf borderId="1" fillId="0" fontId="5" numFmtId="4" xfId="0" applyAlignment="1" applyBorder="1" applyFont="1" applyNumberFormat="1">
      <alignment readingOrder="0"/>
    </xf>
    <xf borderId="1" fillId="0" fontId="5" numFmtId="4" xfId="0" applyBorder="1" applyFont="1" applyNumberForma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2</xdr:row>
      <xdr:rowOff>200025</xdr:rowOff>
    </xdr:from>
    <xdr:ext cx="5715000" cy="3533775"/>
    <xdr:pic>
      <xdr:nvPicPr>
        <xdr:cNvPr id="77130561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19.5"/>
    <col customWidth="1" min="5" max="5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0.3</f>
        <v>0.3</v>
      </c>
    </row>
    <row r="2">
      <c r="A2" s="6">
        <v>1.0</v>
      </c>
      <c r="B2" s="6">
        <v>10.0</v>
      </c>
      <c r="C2" s="7"/>
      <c r="D2" s="7"/>
      <c r="E2" s="8">
        <v>10.0</v>
      </c>
      <c r="G2" s="4" t="s">
        <v>6</v>
      </c>
      <c r="H2" s="5">
        <f>1 -H1</f>
        <v>0.7</v>
      </c>
    </row>
    <row r="3">
      <c r="A3" s="6">
        <v>2.0</v>
      </c>
      <c r="B3" s="6">
        <v>12.0</v>
      </c>
      <c r="C3" s="7"/>
      <c r="D3" s="7"/>
      <c r="E3" s="9">
        <f t="shared" ref="E3:E21" si="1">($H$1 * B3) + ($H$2 * E2)</f>
        <v>10.6</v>
      </c>
    </row>
    <row r="4">
      <c r="A4" s="6">
        <v>3.0</v>
      </c>
      <c r="B4" s="6">
        <v>13.0</v>
      </c>
      <c r="C4" s="7">
        <f t="shared" ref="C4:C21" si="2">ROUND( (B2 + B3 +B4)/3,2)</f>
        <v>11.67</v>
      </c>
      <c r="D4" s="7">
        <f t="shared" ref="D4:D21" si="3">ROUND( (0.5*B4 +0.3* B3 +0.2*B2),2)</f>
        <v>12.1</v>
      </c>
      <c r="E4" s="9">
        <f t="shared" si="1"/>
        <v>11.32</v>
      </c>
    </row>
    <row r="5">
      <c r="A5" s="6">
        <v>4.0</v>
      </c>
      <c r="B5" s="6">
        <v>16.0</v>
      </c>
      <c r="C5" s="7">
        <f t="shared" si="2"/>
        <v>13.67</v>
      </c>
      <c r="D5" s="7">
        <f t="shared" si="3"/>
        <v>14.3</v>
      </c>
      <c r="E5" s="9">
        <f t="shared" si="1"/>
        <v>12.724</v>
      </c>
    </row>
    <row r="6">
      <c r="A6" s="6">
        <v>5.0</v>
      </c>
      <c r="B6" s="6">
        <v>15.0</v>
      </c>
      <c r="C6" s="7">
        <f t="shared" si="2"/>
        <v>14.67</v>
      </c>
      <c r="D6" s="7">
        <f t="shared" si="3"/>
        <v>14.9</v>
      </c>
      <c r="E6" s="9">
        <f t="shared" si="1"/>
        <v>13.4068</v>
      </c>
    </row>
    <row r="7">
      <c r="A7" s="6">
        <v>6.0</v>
      </c>
      <c r="B7" s="6">
        <v>20.0</v>
      </c>
      <c r="C7" s="7">
        <f t="shared" si="2"/>
        <v>17</v>
      </c>
      <c r="D7" s="7">
        <f t="shared" si="3"/>
        <v>17.7</v>
      </c>
      <c r="E7" s="9">
        <f t="shared" si="1"/>
        <v>15.38476</v>
      </c>
    </row>
    <row r="8">
      <c r="A8" s="6">
        <v>7.0</v>
      </c>
      <c r="B8" s="6">
        <v>22.0</v>
      </c>
      <c r="C8" s="7">
        <f t="shared" si="2"/>
        <v>19</v>
      </c>
      <c r="D8" s="7">
        <f t="shared" si="3"/>
        <v>20</v>
      </c>
      <c r="E8" s="9">
        <f t="shared" si="1"/>
        <v>17.369332</v>
      </c>
    </row>
    <row r="9">
      <c r="A9" s="6">
        <v>8.0</v>
      </c>
      <c r="B9" s="6">
        <v>21.0</v>
      </c>
      <c r="C9" s="7">
        <f t="shared" si="2"/>
        <v>21</v>
      </c>
      <c r="D9" s="7">
        <f t="shared" si="3"/>
        <v>21.1</v>
      </c>
      <c r="E9" s="9">
        <f t="shared" si="1"/>
        <v>18.4585324</v>
      </c>
    </row>
    <row r="10">
      <c r="A10" s="6">
        <v>9.0</v>
      </c>
      <c r="B10" s="6">
        <v>23.0</v>
      </c>
      <c r="C10" s="7">
        <f t="shared" si="2"/>
        <v>22</v>
      </c>
      <c r="D10" s="7">
        <f t="shared" si="3"/>
        <v>22.2</v>
      </c>
      <c r="E10" s="9">
        <f t="shared" si="1"/>
        <v>19.82097268</v>
      </c>
    </row>
    <row r="11">
      <c r="A11" s="6">
        <v>10.0</v>
      </c>
      <c r="B11" s="6">
        <v>25.0</v>
      </c>
      <c r="C11" s="7">
        <f t="shared" si="2"/>
        <v>23</v>
      </c>
      <c r="D11" s="7">
        <f t="shared" si="3"/>
        <v>23.6</v>
      </c>
      <c r="E11" s="9">
        <f t="shared" si="1"/>
        <v>21.37468088</v>
      </c>
    </row>
    <row r="12">
      <c r="A12" s="6">
        <v>11.0</v>
      </c>
      <c r="B12" s="6">
        <v>26.0</v>
      </c>
      <c r="C12" s="7">
        <f t="shared" si="2"/>
        <v>24.67</v>
      </c>
      <c r="D12" s="7">
        <f t="shared" si="3"/>
        <v>25.1</v>
      </c>
      <c r="E12" s="9">
        <f t="shared" si="1"/>
        <v>22.76227661</v>
      </c>
    </row>
    <row r="13">
      <c r="A13" s="6">
        <v>12.0</v>
      </c>
      <c r="B13" s="6">
        <v>28.0</v>
      </c>
      <c r="C13" s="7">
        <f t="shared" si="2"/>
        <v>26.33</v>
      </c>
      <c r="D13" s="7">
        <f t="shared" si="3"/>
        <v>26.8</v>
      </c>
      <c r="E13" s="9">
        <f t="shared" si="1"/>
        <v>24.33359363</v>
      </c>
    </row>
    <row r="14">
      <c r="A14" s="6">
        <v>13.0</v>
      </c>
      <c r="B14" s="6">
        <v>30.0</v>
      </c>
      <c r="C14" s="7">
        <f t="shared" si="2"/>
        <v>28</v>
      </c>
      <c r="D14" s="7">
        <f t="shared" si="3"/>
        <v>28.6</v>
      </c>
      <c r="E14" s="9">
        <f t="shared" si="1"/>
        <v>26.03351554</v>
      </c>
    </row>
    <row r="15">
      <c r="A15" s="6">
        <v>14.0</v>
      </c>
      <c r="B15" s="6">
        <v>29.0</v>
      </c>
      <c r="C15" s="7">
        <f t="shared" si="2"/>
        <v>29</v>
      </c>
      <c r="D15" s="7">
        <f t="shared" si="3"/>
        <v>29.1</v>
      </c>
      <c r="E15" s="9">
        <f t="shared" si="1"/>
        <v>26.92346088</v>
      </c>
    </row>
    <row r="16">
      <c r="A16" s="6">
        <v>15.0</v>
      </c>
      <c r="B16" s="6">
        <v>31.0</v>
      </c>
      <c r="C16" s="7">
        <f t="shared" si="2"/>
        <v>30</v>
      </c>
      <c r="D16" s="7">
        <f t="shared" si="3"/>
        <v>30.2</v>
      </c>
      <c r="E16" s="9">
        <f t="shared" si="1"/>
        <v>28.14642261</v>
      </c>
    </row>
    <row r="17">
      <c r="A17" s="6">
        <v>16.0</v>
      </c>
      <c r="B17" s="6">
        <v>33.0</v>
      </c>
      <c r="C17" s="7">
        <f t="shared" si="2"/>
        <v>31</v>
      </c>
      <c r="D17" s="7">
        <f t="shared" si="3"/>
        <v>31.6</v>
      </c>
      <c r="E17" s="9">
        <f t="shared" si="1"/>
        <v>29.60249583</v>
      </c>
    </row>
    <row r="18">
      <c r="A18" s="6">
        <v>17.0</v>
      </c>
      <c r="B18" s="6">
        <v>35.0</v>
      </c>
      <c r="C18" s="7">
        <f t="shared" si="2"/>
        <v>33</v>
      </c>
      <c r="D18" s="7">
        <f t="shared" si="3"/>
        <v>33.6</v>
      </c>
      <c r="E18" s="9">
        <f t="shared" si="1"/>
        <v>31.22174708</v>
      </c>
    </row>
    <row r="19">
      <c r="A19" s="6">
        <v>18.0</v>
      </c>
      <c r="B19" s="6">
        <v>36.0</v>
      </c>
      <c r="C19" s="7">
        <f t="shared" si="2"/>
        <v>34.67</v>
      </c>
      <c r="D19" s="7">
        <f t="shared" si="3"/>
        <v>35.1</v>
      </c>
      <c r="E19" s="9">
        <f t="shared" si="1"/>
        <v>32.65522296</v>
      </c>
    </row>
    <row r="20">
      <c r="A20" s="6">
        <v>19.0</v>
      </c>
      <c r="B20" s="6">
        <v>38.0</v>
      </c>
      <c r="C20" s="7">
        <f t="shared" si="2"/>
        <v>36.33</v>
      </c>
      <c r="D20" s="7">
        <f t="shared" si="3"/>
        <v>36.8</v>
      </c>
      <c r="E20" s="9">
        <f t="shared" si="1"/>
        <v>34.25865607</v>
      </c>
    </row>
    <row r="21">
      <c r="A21" s="6">
        <v>20.0</v>
      </c>
      <c r="B21" s="6">
        <v>42.0</v>
      </c>
      <c r="C21" s="7">
        <f t="shared" si="2"/>
        <v>38.67</v>
      </c>
      <c r="D21" s="7">
        <f t="shared" si="3"/>
        <v>39.6</v>
      </c>
      <c r="E21" s="9">
        <f t="shared" si="1"/>
        <v>36.58105925</v>
      </c>
    </row>
    <row r="22">
      <c r="E22" s="10"/>
    </row>
    <row r="23">
      <c r="E23" s="10"/>
    </row>
    <row r="24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